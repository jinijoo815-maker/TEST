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07-CLAUDE\05-BG 관리 프로그램\"/>
    </mc:Choice>
  </mc:AlternateContent>
  <xr:revisionPtr revIDLastSave="0" documentId="13_ncr:1_{C04084E4-E289-438D-B1A7-C561A2682173}" xr6:coauthVersionLast="36" xr6:coauthVersionMax="36" xr10:uidLastSave="{00000000-0000-0000-0000-000000000000}"/>
  <bookViews>
    <workbookView xWindow="0" yWindow="0" windowWidth="28800" windowHeight="12060" xr2:uid="{1CE54559-5EC5-49D9-8FC9-10187EF61B9A}"/>
  </bookViews>
  <sheets>
    <sheet name="TOTAL LIST (3)" sheetId="5" r:id="rId1"/>
    <sheet name="TOTAL LIST (2)" sheetId="4" r:id="rId2"/>
    <sheet name="TOTAL LIST" sheetId="1" r:id="rId3"/>
    <sheet name="Sheet2" sheetId="3" r:id="rId4"/>
  </sheets>
  <definedNames>
    <definedName name="_xlnm.Print_Area" localSheetId="2">'TOTAL LIST'!$B$1:$N$43</definedName>
    <definedName name="_xlnm.Print_Area" localSheetId="1">'TOTAL LIST (2)'!$B$1:$L$19</definedName>
    <definedName name="_xlnm.Print_Area" localSheetId="0">'TOTAL LIST (3)'!$A$1:$M$28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5" l="1"/>
  <c r="J7" i="5"/>
  <c r="J5" i="5"/>
  <c r="J6" i="5"/>
  <c r="J9" i="5"/>
  <c r="J10" i="5"/>
  <c r="J11" i="5"/>
  <c r="J12" i="5"/>
  <c r="J13" i="5"/>
  <c r="J14" i="5"/>
  <c r="K6" i="5"/>
  <c r="K7" i="5"/>
  <c r="K8" i="5"/>
  <c r="K13" i="5"/>
  <c r="K14" i="5"/>
  <c r="K5" i="5"/>
  <c r="G28" i="5" l="1"/>
  <c r="H10" i="5"/>
  <c r="H11" i="5" s="1"/>
  <c r="I9" i="5"/>
  <c r="K9" i="5" s="1"/>
  <c r="B7" i="5"/>
  <c r="B8" i="5" s="1"/>
  <c r="A6" i="5"/>
  <c r="A7" i="5" s="1"/>
  <c r="A8" i="5" s="1"/>
  <c r="A9" i="5" s="1"/>
  <c r="A10" i="5" s="1"/>
  <c r="A11" i="5" s="1"/>
  <c r="A12" i="5" s="1"/>
  <c r="A13" i="5" s="1"/>
  <c r="A14" i="5" s="1"/>
  <c r="F7" i="4"/>
  <c r="E7" i="4"/>
  <c r="D7" i="4"/>
  <c r="C7" i="4"/>
  <c r="B15" i="4"/>
  <c r="B16" i="4"/>
  <c r="B10" i="4"/>
  <c r="B11" i="4" s="1"/>
  <c r="B12" i="4" s="1"/>
  <c r="B13" i="4" s="1"/>
  <c r="B14" i="4" s="1"/>
  <c r="P17" i="1"/>
  <c r="P18" i="1"/>
  <c r="P19" i="1"/>
  <c r="P16" i="1"/>
  <c r="I11" i="5" l="1"/>
  <c r="K11" i="5" s="1"/>
  <c r="H12" i="5"/>
  <c r="I12" i="5" s="1"/>
  <c r="K12" i="5" s="1"/>
  <c r="I10" i="5"/>
  <c r="K10" i="5" s="1"/>
  <c r="B28" i="1"/>
  <c r="B27" i="1"/>
  <c r="C24" i="1"/>
  <c r="C25" i="1" s="1"/>
  <c r="B17" i="1"/>
  <c r="B18" i="1" s="1"/>
  <c r="B19" i="1" s="1"/>
  <c r="B20" i="1" s="1"/>
  <c r="B21" i="1" s="1"/>
  <c r="B22" i="1" s="1"/>
  <c r="B23" i="1" s="1"/>
  <c r="B24" i="1" s="1"/>
  <c r="B25" i="1" s="1"/>
  <c r="C18" i="1"/>
  <c r="C19" i="1" s="1"/>
  <c r="J20" i="1" l="1"/>
  <c r="K20" i="1" s="1"/>
  <c r="I21" i="1"/>
  <c r="I22" i="1" s="1"/>
  <c r="I23" i="1" s="1"/>
  <c r="J23" i="1" s="1"/>
  <c r="K23" i="1" s="1"/>
  <c r="J21" i="1" l="1"/>
  <c r="K21" i="1" s="1"/>
  <c r="J22" i="1"/>
  <c r="K22" i="1" s="1"/>
  <c r="H18" i="4"/>
  <c r="K9" i="4"/>
  <c r="K8" i="4"/>
  <c r="K7" i="4"/>
  <c r="B9" i="4"/>
  <c r="H42" i="1" l="1"/>
  <c r="M8" i="1"/>
  <c r="M9" i="1"/>
  <c r="M11" i="1"/>
  <c r="M12" i="1"/>
  <c r="M10" i="1"/>
  <c r="M13" i="1"/>
  <c r="M14" i="1"/>
  <c r="M7" i="1"/>
  <c r="B8" i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<sst xmlns="http://schemas.openxmlformats.org/spreadsheetml/2006/main" count="195" uniqueCount="77">
  <si>
    <t>No</t>
    <phoneticPr fontId="1" type="noConversion"/>
  </si>
  <si>
    <t>Project</t>
    <phoneticPr fontId="1" type="noConversion"/>
  </si>
  <si>
    <t>BG</t>
    <phoneticPr fontId="1" type="noConversion"/>
  </si>
  <si>
    <t>ABG</t>
    <phoneticPr fontId="1" type="noConversion"/>
  </si>
  <si>
    <t>Issuing date</t>
    <phoneticPr fontId="1" type="noConversion"/>
  </si>
  <si>
    <t>Expire Date</t>
    <phoneticPr fontId="1" type="noConversion"/>
  </si>
  <si>
    <t>Amount</t>
    <phoneticPr fontId="1" type="noConversion"/>
  </si>
  <si>
    <t>Remark</t>
    <phoneticPr fontId="1" type="noConversion"/>
  </si>
  <si>
    <t>BG No.</t>
    <phoneticPr fontId="1" type="noConversion"/>
  </si>
  <si>
    <t>TOTAL</t>
    <phoneticPr fontId="1" type="noConversion"/>
  </si>
  <si>
    <t>PBG</t>
    <phoneticPr fontId="1" type="noConversion"/>
  </si>
  <si>
    <t>CLIENT</t>
    <phoneticPr fontId="1" type="noConversion"/>
  </si>
  <si>
    <t>Alder Residency Pvt Ltd</t>
    <phoneticPr fontId="1" type="noConversion"/>
  </si>
  <si>
    <t>735-000-021301</t>
    <phoneticPr fontId="1" type="noConversion"/>
  </si>
  <si>
    <t>DYNACRAFT C&amp;D</t>
    <phoneticPr fontId="1" type="noConversion"/>
  </si>
  <si>
    <t>Kalpataru Projects International Ltd</t>
    <phoneticPr fontId="1" type="noConversion"/>
  </si>
  <si>
    <t>735-000-021784</t>
    <phoneticPr fontId="1" type="noConversion"/>
  </si>
  <si>
    <t>PCTH VILL E&amp;F</t>
    <phoneticPr fontId="1" type="noConversion"/>
  </si>
  <si>
    <t>Eversmile Properties Pvt Ltd</t>
    <phoneticPr fontId="1" type="noConversion"/>
  </si>
  <si>
    <t>735-000-021970</t>
    <phoneticPr fontId="1" type="noConversion"/>
  </si>
  <si>
    <t>SRISHTI P-2F WING</t>
    <phoneticPr fontId="1" type="noConversion"/>
  </si>
  <si>
    <t>735-000-022092</t>
    <phoneticPr fontId="1" type="noConversion"/>
  </si>
  <si>
    <t>SRISHTI P-2F WING</t>
    <phoneticPr fontId="1" type="noConversion"/>
  </si>
  <si>
    <t>KALPATARU PROJECTS INTERNATIONAL</t>
    <phoneticPr fontId="1" type="noConversion"/>
  </si>
  <si>
    <t>735-000-022224</t>
    <phoneticPr fontId="1" type="noConversion"/>
  </si>
  <si>
    <t>PWLA TOWER P3</t>
    <phoneticPr fontId="1" type="noConversion"/>
  </si>
  <si>
    <t>PWLA TOWER M2</t>
    <phoneticPr fontId="1" type="noConversion"/>
  </si>
  <si>
    <t>735-000-022230</t>
    <phoneticPr fontId="1" type="noConversion"/>
  </si>
  <si>
    <t>KALPATARU PROJECTS INTERNATIONAL LTD</t>
    <phoneticPr fontId="1" type="noConversion"/>
  </si>
  <si>
    <t>735-000-022509</t>
    <phoneticPr fontId="1" type="noConversion"/>
  </si>
  <si>
    <t>PWLA P3&amp;M2</t>
    <phoneticPr fontId="1" type="noConversion"/>
  </si>
  <si>
    <t>KALPATARU LIMITED</t>
    <phoneticPr fontId="1" type="noConversion"/>
  </si>
  <si>
    <t>BLOSSOM (TOWER 1)</t>
    <phoneticPr fontId="1" type="noConversion"/>
  </si>
  <si>
    <t>735-000-022570</t>
    <phoneticPr fontId="1" type="noConversion"/>
  </si>
  <si>
    <t>KALPATARU BG LIST</t>
    <phoneticPr fontId="1" type="noConversion"/>
  </si>
  <si>
    <t>OVERDUE</t>
    <phoneticPr fontId="1" type="noConversion"/>
  </si>
  <si>
    <t>BLOSSOM (TOWER 2)</t>
    <phoneticPr fontId="1" type="noConversion"/>
  </si>
  <si>
    <t>735-000-022683</t>
    <phoneticPr fontId="1" type="noConversion"/>
  </si>
  <si>
    <t>KALPATARU OVERDUE BG LIST</t>
    <phoneticPr fontId="1" type="noConversion"/>
  </si>
  <si>
    <t>Kalpataru Projects International Ltd</t>
    <phoneticPr fontId="1" type="noConversion"/>
  </si>
  <si>
    <t>735-000-023900</t>
    <phoneticPr fontId="1" type="noConversion"/>
  </si>
  <si>
    <t>PBG</t>
    <phoneticPr fontId="1" type="noConversion"/>
  </si>
  <si>
    <t>735-000-023543</t>
    <phoneticPr fontId="1" type="noConversion"/>
  </si>
  <si>
    <t>735-000-023529</t>
    <phoneticPr fontId="1" type="noConversion"/>
  </si>
  <si>
    <t>735-000-023510</t>
    <phoneticPr fontId="1" type="noConversion"/>
  </si>
  <si>
    <t>735-000-023536</t>
    <phoneticPr fontId="1" type="noConversion"/>
  </si>
  <si>
    <t>2nd Extension</t>
    <phoneticPr fontId="1" type="noConversion"/>
  </si>
  <si>
    <t>1st Extehsion</t>
    <phoneticPr fontId="1" type="noConversion"/>
  </si>
  <si>
    <t>PCTD PH-1</t>
    <phoneticPr fontId="1" type="noConversion"/>
  </si>
  <si>
    <t>Kalpataru Projects International Ltd</t>
    <phoneticPr fontId="1" type="noConversion"/>
  </si>
  <si>
    <t>TOWER</t>
    <phoneticPr fontId="1" type="noConversion"/>
  </si>
  <si>
    <t>T- 3.1</t>
    <phoneticPr fontId="1" type="noConversion"/>
  </si>
  <si>
    <t>T-6</t>
    <phoneticPr fontId="1" type="noConversion"/>
  </si>
  <si>
    <t>T-3.1</t>
    <phoneticPr fontId="1" type="noConversion"/>
  </si>
  <si>
    <t>T-3.2</t>
    <phoneticPr fontId="1" type="noConversion"/>
  </si>
  <si>
    <t>T-3.3</t>
    <phoneticPr fontId="1" type="noConversion"/>
  </si>
  <si>
    <t>735-000-023917</t>
    <phoneticPr fontId="1" type="noConversion"/>
  </si>
  <si>
    <t>735-000-024621</t>
    <phoneticPr fontId="1" type="noConversion"/>
  </si>
  <si>
    <t>735-000-024638</t>
    <phoneticPr fontId="1" type="noConversion"/>
  </si>
  <si>
    <t>KRISUMI</t>
    <phoneticPr fontId="1" type="noConversion"/>
  </si>
  <si>
    <t>735-000-024823</t>
    <phoneticPr fontId="1" type="noConversion"/>
  </si>
  <si>
    <t>COLUMN</t>
    <phoneticPr fontId="1" type="noConversion"/>
  </si>
  <si>
    <t>PCTD PH-2 BASENEBT</t>
    <phoneticPr fontId="1" type="noConversion"/>
  </si>
  <si>
    <t>C2,C3,C4,D1,D3</t>
    <phoneticPr fontId="1" type="noConversion"/>
  </si>
  <si>
    <t>735-000-24556</t>
    <phoneticPr fontId="1" type="noConversion"/>
  </si>
  <si>
    <t>735-000-024831</t>
    <phoneticPr fontId="1" type="noConversion"/>
  </si>
  <si>
    <t>A1,A2,A3,B1,E2</t>
    <phoneticPr fontId="1" type="noConversion"/>
  </si>
  <si>
    <t>New provided</t>
    <phoneticPr fontId="1" type="noConversion"/>
  </si>
  <si>
    <t>마지막 선적 6월 8일</t>
    <phoneticPr fontId="1" type="noConversion"/>
  </si>
  <si>
    <t>연장 추진</t>
    <phoneticPr fontId="1" type="noConversion"/>
  </si>
  <si>
    <t xml:space="preserve">Kalpataru </t>
  </si>
  <si>
    <t xml:space="preserve">Kalpataru </t>
    <phoneticPr fontId="1" type="noConversion"/>
  </si>
  <si>
    <t>Returned date</t>
    <phoneticPr fontId="1" type="noConversion"/>
  </si>
  <si>
    <t>BG LIST</t>
    <phoneticPr fontId="1" type="noConversion"/>
  </si>
  <si>
    <t>BG 종류</t>
    <phoneticPr fontId="1" type="noConversion"/>
  </si>
  <si>
    <t>Expiry Date</t>
    <phoneticPr fontId="1" type="noConversion"/>
  </si>
  <si>
    <t>Claim period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</si>
</sst>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₹-439]#,##0"/>
    <numFmt numFmtId="177" formatCode="#,##0\ &quot; days&quot;"/>
    <numFmt numFmtId="178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shrinkToFit="1"/>
    </xf>
    <xf numFmtId="0" fontId="2" fillId="0" borderId="1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 shrinkToFit="1"/>
    </xf>
    <xf numFmtId="0" fontId="2" fillId="0" borderId="19" xfId="0" applyFont="1" applyBorder="1" applyAlignment="1">
      <alignment horizontal="left" vertical="center" shrinkToFit="1"/>
    </xf>
    <xf numFmtId="176" fontId="2" fillId="0" borderId="1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5" xfId="0" quotePrefix="1" applyNumberFormat="1" applyFont="1" applyBorder="1" applyAlignment="1">
      <alignment horizontal="center" vertical="center"/>
    </xf>
    <xf numFmtId="176" fontId="2" fillId="0" borderId="6" xfId="0" quotePrefix="1" applyNumberFormat="1" applyFont="1" applyBorder="1" applyAlignment="1">
      <alignment horizontal="center" vertical="center"/>
    </xf>
    <xf numFmtId="176" fontId="2" fillId="0" borderId="11" xfId="0" quotePrefix="1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7" fontId="2" fillId="0" borderId="12" xfId="0" quotePrefix="1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/>
    </xf>
    <xf numFmtId="0" fontId="2" fillId="2" borderId="6" xfId="0" quotePrefix="1" applyFont="1" applyFill="1" applyBorder="1" applyAlignment="1">
      <alignment horizontal="center" vertical="center"/>
    </xf>
    <xf numFmtId="176" fontId="2" fillId="2" borderId="6" xfId="0" quotePrefix="1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center" vertical="center"/>
    </xf>
    <xf numFmtId="0" fontId="2" fillId="0" borderId="23" xfId="0" quotePrefix="1" applyFont="1" applyBorder="1" applyAlignment="1">
      <alignment horizontal="center" vertical="center"/>
    </xf>
    <xf numFmtId="176" fontId="2" fillId="0" borderId="23" xfId="0" quotePrefix="1" applyNumberFormat="1" applyFont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 shrinkToFit="1"/>
    </xf>
    <xf numFmtId="0" fontId="2" fillId="0" borderId="27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7" xfId="0" quotePrefix="1" applyFont="1" applyFill="1" applyBorder="1" applyAlignment="1">
      <alignment horizontal="center" vertical="center"/>
    </xf>
    <xf numFmtId="176" fontId="2" fillId="2" borderId="27" xfId="0" quotePrefix="1" applyNumberFormat="1" applyFont="1" applyFill="1" applyBorder="1" applyAlignment="1">
      <alignment horizontal="center" vertical="center"/>
    </xf>
    <xf numFmtId="14" fontId="2" fillId="2" borderId="27" xfId="0" applyNumberFormat="1" applyFont="1" applyFill="1" applyBorder="1" applyAlignment="1">
      <alignment horizontal="center" vertical="center"/>
    </xf>
    <xf numFmtId="14" fontId="2" fillId="0" borderId="27" xfId="0" applyNumberFormat="1" applyFont="1" applyBorder="1" applyAlignment="1">
      <alignment horizontal="center" vertical="center"/>
    </xf>
    <xf numFmtId="177" fontId="2" fillId="0" borderId="28" xfId="0" applyNumberFormat="1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1" xfId="0" quotePrefix="1" applyFont="1" applyFill="1" applyBorder="1" applyAlignment="1">
      <alignment horizontal="center" vertical="center"/>
    </xf>
    <xf numFmtId="176" fontId="2" fillId="2" borderId="11" xfId="0" quotePrefix="1" applyNumberFormat="1" applyFont="1" applyFill="1" applyBorder="1" applyAlignment="1">
      <alignment horizontal="center" vertical="center"/>
    </xf>
    <xf numFmtId="14" fontId="2" fillId="2" borderId="11" xfId="0" applyNumberFormat="1" applyFont="1" applyFill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center" vertical="center"/>
    </xf>
    <xf numFmtId="176" fontId="2" fillId="0" borderId="27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4" fontId="5" fillId="0" borderId="27" xfId="0" applyNumberFormat="1" applyFont="1" applyBorder="1" applyAlignment="1">
      <alignment horizontal="center" vertical="center"/>
    </xf>
    <xf numFmtId="14" fontId="5" fillId="2" borderId="27" xfId="0" applyNumberFormat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center" vertical="center"/>
    </xf>
    <xf numFmtId="0" fontId="2" fillId="0" borderId="4" xfId="0" quotePrefix="1" applyFont="1" applyFill="1" applyBorder="1" applyAlignment="1">
      <alignment horizontal="center" vertical="center"/>
    </xf>
    <xf numFmtId="176" fontId="2" fillId="0" borderId="4" xfId="0" quotePrefix="1" applyNumberFormat="1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left" vertical="center" shrinkToFit="1"/>
    </xf>
    <xf numFmtId="0" fontId="2" fillId="0" borderId="5" xfId="0" applyFont="1" applyFill="1" applyBorder="1" applyAlignment="1">
      <alignment horizontal="center" vertical="center"/>
    </xf>
    <xf numFmtId="0" fontId="2" fillId="0" borderId="5" xfId="0" quotePrefix="1" applyFont="1" applyFill="1" applyBorder="1" applyAlignment="1">
      <alignment horizontal="center" vertical="center"/>
    </xf>
    <xf numFmtId="176" fontId="2" fillId="0" borderId="5" xfId="0" quotePrefix="1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4" fontId="2" fillId="0" borderId="24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53EC-A0DF-4F33-B495-2CCC72A60008}">
  <sheetPr>
    <pageSetUpPr fitToPage="1"/>
  </sheetPr>
  <dimension ref="A1:M28"/>
  <sheetViews>
    <sheetView tabSelected="1" workbookViewId="0">
      <selection activeCell="C9" sqref="C8:C9"/>
    </sheetView>
  </sheetViews>
  <sheetFormatPr defaultRowHeight="16.5" x14ac:dyDescent="0.3"/>
  <cols>
    <col min="1" max="1" width="10.625" style="1" customWidth="1"/>
    <col min="2" max="2" width="19.5" style="1" customWidth="1"/>
    <col min="3" max="4" width="22.625" style="1" customWidth="1"/>
    <col min="5" max="5" width="12.625" style="1" customWidth="1"/>
    <col min="6" max="7" width="20.625" style="1" customWidth="1"/>
    <col min="8" max="10" width="15.625" style="1" customWidth="1"/>
    <col min="11" max="13" width="20.625" style="1" customWidth="1"/>
  </cols>
  <sheetData>
    <row r="1" spans="1:13" ht="31.5" x14ac:dyDescent="0.3">
      <c r="A1" s="46" t="s">
        <v>73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3" spans="1:13" ht="17.25" thickBot="1" x14ac:dyDescent="0.35"/>
    <row r="4" spans="1:13" ht="35.1" customHeight="1" thickBot="1" x14ac:dyDescent="0.35">
      <c r="A4" s="2" t="s">
        <v>0</v>
      </c>
      <c r="B4" s="12" t="s">
        <v>11</v>
      </c>
      <c r="C4" s="15" t="s">
        <v>1</v>
      </c>
      <c r="D4" s="15" t="s">
        <v>50</v>
      </c>
      <c r="E4" s="15" t="s">
        <v>74</v>
      </c>
      <c r="F4" s="15" t="s">
        <v>8</v>
      </c>
      <c r="G4" s="3" t="s">
        <v>6</v>
      </c>
      <c r="H4" s="15" t="s">
        <v>4</v>
      </c>
      <c r="I4" s="15" t="s">
        <v>75</v>
      </c>
      <c r="J4" s="4" t="s">
        <v>76</v>
      </c>
      <c r="K4" s="38" t="s">
        <v>35</v>
      </c>
      <c r="L4" s="38" t="s">
        <v>72</v>
      </c>
      <c r="M4" s="38" t="s">
        <v>7</v>
      </c>
    </row>
    <row r="5" spans="1:13" ht="35.1" customHeight="1" x14ac:dyDescent="0.3">
      <c r="A5" s="88">
        <v>1</v>
      </c>
      <c r="B5" s="89" t="s">
        <v>71</v>
      </c>
      <c r="C5" s="90" t="s">
        <v>59</v>
      </c>
      <c r="D5" s="90" t="s">
        <v>51</v>
      </c>
      <c r="E5" s="90" t="s">
        <v>10</v>
      </c>
      <c r="F5" s="91" t="s">
        <v>40</v>
      </c>
      <c r="G5" s="92">
        <v>2137260</v>
      </c>
      <c r="H5" s="93">
        <v>46030</v>
      </c>
      <c r="I5" s="93">
        <v>46179</v>
      </c>
      <c r="J5" s="93">
        <f>+I5+120</f>
        <v>46299</v>
      </c>
      <c r="K5" s="100">
        <f ca="1">I5-TODAY()</f>
        <v>-101</v>
      </c>
      <c r="L5" s="100"/>
      <c r="M5" s="90"/>
    </row>
    <row r="6" spans="1:13" ht="35.1" customHeight="1" x14ac:dyDescent="0.3">
      <c r="A6" s="94">
        <f>A5+1</f>
        <v>2</v>
      </c>
      <c r="B6" s="95" t="s">
        <v>71</v>
      </c>
      <c r="C6" s="96" t="s">
        <v>59</v>
      </c>
      <c r="D6" s="96" t="s">
        <v>52</v>
      </c>
      <c r="E6" s="96" t="s">
        <v>10</v>
      </c>
      <c r="F6" s="97" t="s">
        <v>56</v>
      </c>
      <c r="G6" s="98">
        <v>1856670</v>
      </c>
      <c r="H6" s="87">
        <v>46030</v>
      </c>
      <c r="I6" s="87">
        <v>46179</v>
      </c>
      <c r="J6" s="87">
        <f>+I6+90</f>
        <v>46269</v>
      </c>
      <c r="K6" s="101">
        <f t="shared" ref="K6:K14" ca="1" si="0">I6-TODAY()</f>
        <v>-101</v>
      </c>
      <c r="L6" s="101"/>
      <c r="M6" s="96"/>
    </row>
    <row r="7" spans="1:13" ht="35.1" customHeight="1" x14ac:dyDescent="0.3">
      <c r="A7" s="94">
        <f>A6+1</f>
        <v>3</v>
      </c>
      <c r="B7" s="95" t="str">
        <f>B6</f>
        <v xml:space="preserve">Kalpataru </v>
      </c>
      <c r="C7" s="96" t="s">
        <v>59</v>
      </c>
      <c r="D7" s="96" t="s">
        <v>54</v>
      </c>
      <c r="E7" s="96" t="s">
        <v>10</v>
      </c>
      <c r="F7" s="97" t="s">
        <v>57</v>
      </c>
      <c r="G7" s="98">
        <v>3385488</v>
      </c>
      <c r="H7" s="87">
        <v>46140</v>
      </c>
      <c r="I7" s="87">
        <v>46319</v>
      </c>
      <c r="J7" s="87">
        <f>+I7+120</f>
        <v>46439</v>
      </c>
      <c r="K7" s="101">
        <f t="shared" ca="1" si="0"/>
        <v>39</v>
      </c>
      <c r="L7" s="101"/>
      <c r="M7" s="96"/>
    </row>
    <row r="8" spans="1:13" ht="35.1" customHeight="1" x14ac:dyDescent="0.3">
      <c r="A8" s="94">
        <f t="shared" ref="A8:A14" si="1">A7+1</f>
        <v>4</v>
      </c>
      <c r="B8" s="95" t="str">
        <f>B7</f>
        <v xml:space="preserve">Kalpataru </v>
      </c>
      <c r="C8" s="96" t="s">
        <v>59</v>
      </c>
      <c r="D8" s="96" t="s">
        <v>55</v>
      </c>
      <c r="E8" s="96" t="s">
        <v>10</v>
      </c>
      <c r="F8" s="97" t="s">
        <v>58</v>
      </c>
      <c r="G8" s="98">
        <v>3714833</v>
      </c>
      <c r="H8" s="87">
        <v>46120</v>
      </c>
      <c r="I8" s="87">
        <v>46319</v>
      </c>
      <c r="J8" s="87">
        <f>+I8+120</f>
        <v>46439</v>
      </c>
      <c r="K8" s="101">
        <f t="shared" ca="1" si="0"/>
        <v>39</v>
      </c>
      <c r="L8" s="101"/>
      <c r="M8" s="96"/>
    </row>
    <row r="9" spans="1:13" ht="35.1" customHeight="1" x14ac:dyDescent="0.3">
      <c r="A9" s="94">
        <f t="shared" si="1"/>
        <v>5</v>
      </c>
      <c r="B9" s="95" t="s">
        <v>70</v>
      </c>
      <c r="C9" s="96" t="s">
        <v>59</v>
      </c>
      <c r="D9" s="96" t="s">
        <v>53</v>
      </c>
      <c r="E9" s="96" t="s">
        <v>3</v>
      </c>
      <c r="F9" s="97" t="s">
        <v>42</v>
      </c>
      <c r="G9" s="98">
        <v>13867813</v>
      </c>
      <c r="H9" s="87">
        <v>45957</v>
      </c>
      <c r="I9" s="87">
        <f>H9+90</f>
        <v>46047</v>
      </c>
      <c r="J9" s="87">
        <f t="shared" ref="J6:J14" si="2">+I9+30</f>
        <v>46077</v>
      </c>
      <c r="K9" s="101">
        <f t="shared" ca="1" si="0"/>
        <v>-233</v>
      </c>
      <c r="L9" s="99"/>
      <c r="M9" s="102"/>
    </row>
    <row r="10" spans="1:13" ht="35.1" customHeight="1" x14ac:dyDescent="0.3">
      <c r="A10" s="94">
        <f t="shared" si="1"/>
        <v>6</v>
      </c>
      <c r="B10" s="95" t="s">
        <v>70</v>
      </c>
      <c r="C10" s="96" t="s">
        <v>59</v>
      </c>
      <c r="D10" s="96" t="s">
        <v>54</v>
      </c>
      <c r="E10" s="96" t="s">
        <v>3</v>
      </c>
      <c r="F10" s="97" t="s">
        <v>43</v>
      </c>
      <c r="G10" s="98">
        <v>16086663</v>
      </c>
      <c r="H10" s="87">
        <f>H9</f>
        <v>45957</v>
      </c>
      <c r="I10" s="87">
        <f t="shared" ref="I10:I12" si="3">H10+90</f>
        <v>46047</v>
      </c>
      <c r="J10" s="87">
        <f t="shared" si="2"/>
        <v>46077</v>
      </c>
      <c r="K10" s="101">
        <f t="shared" ca="1" si="0"/>
        <v>-233</v>
      </c>
      <c r="L10" s="99"/>
      <c r="M10" s="102"/>
    </row>
    <row r="11" spans="1:13" ht="35.1" customHeight="1" x14ac:dyDescent="0.3">
      <c r="A11" s="94">
        <f t="shared" si="1"/>
        <v>7</v>
      </c>
      <c r="B11" s="95" t="s">
        <v>70</v>
      </c>
      <c r="C11" s="96" t="s">
        <v>59</v>
      </c>
      <c r="D11" s="96" t="s">
        <v>55</v>
      </c>
      <c r="E11" s="96" t="s">
        <v>3</v>
      </c>
      <c r="F11" s="97" t="s">
        <v>44</v>
      </c>
      <c r="G11" s="98">
        <v>11648963</v>
      </c>
      <c r="H11" s="87">
        <f>H10</f>
        <v>45957</v>
      </c>
      <c r="I11" s="87">
        <f t="shared" si="3"/>
        <v>46047</v>
      </c>
      <c r="J11" s="87">
        <f t="shared" si="2"/>
        <v>46077</v>
      </c>
      <c r="K11" s="101">
        <f t="shared" ca="1" si="0"/>
        <v>-233</v>
      </c>
      <c r="L11" s="99"/>
      <c r="M11" s="102"/>
    </row>
    <row r="12" spans="1:13" ht="35.1" customHeight="1" x14ac:dyDescent="0.3">
      <c r="A12" s="94">
        <f t="shared" si="1"/>
        <v>8</v>
      </c>
      <c r="B12" s="95" t="s">
        <v>70</v>
      </c>
      <c r="C12" s="96" t="s">
        <v>59</v>
      </c>
      <c r="D12" s="96" t="s">
        <v>52</v>
      </c>
      <c r="E12" s="96" t="s">
        <v>3</v>
      </c>
      <c r="F12" s="97" t="s">
        <v>45</v>
      </c>
      <c r="G12" s="98">
        <v>13867813</v>
      </c>
      <c r="H12" s="87">
        <f>H11</f>
        <v>45957</v>
      </c>
      <c r="I12" s="87">
        <f t="shared" si="3"/>
        <v>46047</v>
      </c>
      <c r="J12" s="87">
        <f t="shared" si="2"/>
        <v>46077</v>
      </c>
      <c r="K12" s="101">
        <f t="shared" ca="1" si="0"/>
        <v>-233</v>
      </c>
      <c r="L12" s="99"/>
      <c r="M12" s="102"/>
    </row>
    <row r="13" spans="1:13" ht="35.1" customHeight="1" x14ac:dyDescent="0.3">
      <c r="A13" s="94">
        <f t="shared" si="1"/>
        <v>9</v>
      </c>
      <c r="B13" s="95" t="s">
        <v>70</v>
      </c>
      <c r="C13" s="96" t="s">
        <v>59</v>
      </c>
      <c r="D13" s="96" t="s">
        <v>54</v>
      </c>
      <c r="E13" s="96" t="s">
        <v>3</v>
      </c>
      <c r="F13" s="97" t="s">
        <v>60</v>
      </c>
      <c r="G13" s="98">
        <v>13867813</v>
      </c>
      <c r="H13" s="87">
        <v>46190</v>
      </c>
      <c r="I13" s="87">
        <v>46285</v>
      </c>
      <c r="J13" s="87">
        <f t="shared" si="2"/>
        <v>46315</v>
      </c>
      <c r="K13" s="101">
        <f t="shared" ca="1" si="0"/>
        <v>5</v>
      </c>
      <c r="L13" s="99"/>
      <c r="M13" s="102"/>
    </row>
    <row r="14" spans="1:13" ht="35.1" customHeight="1" x14ac:dyDescent="0.3">
      <c r="A14" s="94">
        <f t="shared" si="1"/>
        <v>10</v>
      </c>
      <c r="B14" s="95" t="s">
        <v>70</v>
      </c>
      <c r="C14" s="96" t="s">
        <v>59</v>
      </c>
      <c r="D14" s="96" t="s">
        <v>55</v>
      </c>
      <c r="E14" s="96" t="s">
        <v>3</v>
      </c>
      <c r="F14" s="97" t="s">
        <v>65</v>
      </c>
      <c r="G14" s="98">
        <v>16086663</v>
      </c>
      <c r="H14" s="87">
        <v>46190</v>
      </c>
      <c r="I14" s="87">
        <v>46285</v>
      </c>
      <c r="J14" s="87">
        <f t="shared" si="2"/>
        <v>46315</v>
      </c>
      <c r="K14" s="101">
        <f t="shared" ca="1" si="0"/>
        <v>5</v>
      </c>
      <c r="L14" s="101"/>
      <c r="M14" s="96"/>
    </row>
    <row r="15" spans="1:13" ht="35.1" customHeight="1" x14ac:dyDescent="0.3">
      <c r="A15" s="54"/>
      <c r="B15" s="55"/>
      <c r="C15" s="56"/>
      <c r="D15" s="56"/>
      <c r="E15" s="56"/>
      <c r="F15" s="57"/>
      <c r="G15" s="58"/>
      <c r="H15" s="59"/>
      <c r="I15" s="59"/>
      <c r="J15" s="103"/>
      <c r="K15" s="60"/>
      <c r="L15" s="60"/>
      <c r="M15" s="86"/>
    </row>
    <row r="16" spans="1:13" ht="35.1" customHeight="1" x14ac:dyDescent="0.3">
      <c r="A16" s="44"/>
      <c r="B16" s="30"/>
      <c r="C16" s="21"/>
      <c r="D16" s="21"/>
      <c r="E16" s="21"/>
      <c r="F16" s="20"/>
      <c r="G16" s="35"/>
      <c r="H16" s="27"/>
      <c r="I16" s="27"/>
      <c r="J16" s="104"/>
      <c r="K16" s="45"/>
      <c r="L16" s="45"/>
      <c r="M16" s="9"/>
    </row>
    <row r="17" spans="1:13" ht="35.1" customHeight="1" x14ac:dyDescent="0.3">
      <c r="A17" s="44"/>
      <c r="B17" s="30"/>
      <c r="C17" s="21"/>
      <c r="D17" s="21"/>
      <c r="E17" s="21"/>
      <c r="F17" s="20"/>
      <c r="G17" s="35"/>
      <c r="H17" s="27"/>
      <c r="I17" s="27"/>
      <c r="J17" s="104"/>
      <c r="K17" s="45"/>
      <c r="L17" s="45"/>
      <c r="M17" s="9"/>
    </row>
    <row r="18" spans="1:13" ht="35.1" customHeight="1" x14ac:dyDescent="0.3">
      <c r="A18" s="44"/>
      <c r="B18" s="30"/>
      <c r="C18" s="21"/>
      <c r="D18" s="21"/>
      <c r="E18" s="21"/>
      <c r="F18" s="20"/>
      <c r="G18" s="35"/>
      <c r="H18" s="27"/>
      <c r="I18" s="27"/>
      <c r="J18" s="104"/>
      <c r="K18" s="45"/>
      <c r="L18" s="45"/>
      <c r="M18" s="9"/>
    </row>
    <row r="19" spans="1:13" ht="35.1" customHeight="1" x14ac:dyDescent="0.3">
      <c r="A19" s="44"/>
      <c r="B19" s="30"/>
      <c r="C19" s="21"/>
      <c r="D19" s="21"/>
      <c r="E19" s="21"/>
      <c r="F19" s="20"/>
      <c r="G19" s="35"/>
      <c r="H19" s="27"/>
      <c r="I19" s="27"/>
      <c r="J19" s="104"/>
      <c r="K19" s="45"/>
      <c r="L19" s="45"/>
      <c r="M19" s="9"/>
    </row>
    <row r="20" spans="1:13" ht="35.1" customHeight="1" x14ac:dyDescent="0.3">
      <c r="A20" s="44"/>
      <c r="B20" s="30"/>
      <c r="C20" s="21"/>
      <c r="D20" s="21"/>
      <c r="E20" s="21"/>
      <c r="F20" s="20"/>
      <c r="G20" s="35"/>
      <c r="H20" s="27"/>
      <c r="I20" s="27"/>
      <c r="J20" s="104"/>
      <c r="K20" s="45"/>
      <c r="L20" s="45"/>
      <c r="M20" s="9"/>
    </row>
    <row r="21" spans="1:13" ht="35.1" customHeight="1" x14ac:dyDescent="0.3">
      <c r="A21" s="44"/>
      <c r="B21" s="30"/>
      <c r="C21" s="21"/>
      <c r="D21" s="21"/>
      <c r="E21" s="21"/>
      <c r="F21" s="20"/>
      <c r="G21" s="35"/>
      <c r="H21" s="27"/>
      <c r="I21" s="27"/>
      <c r="J21" s="104"/>
      <c r="K21" s="45"/>
      <c r="L21" s="45"/>
      <c r="M21" s="9"/>
    </row>
    <row r="22" spans="1:13" ht="35.1" customHeight="1" x14ac:dyDescent="0.3">
      <c r="A22" s="44"/>
      <c r="B22" s="30"/>
      <c r="C22" s="21"/>
      <c r="D22" s="21"/>
      <c r="E22" s="21"/>
      <c r="F22" s="20"/>
      <c r="G22" s="35"/>
      <c r="H22" s="27"/>
      <c r="I22" s="27"/>
      <c r="J22" s="104"/>
      <c r="K22" s="45"/>
      <c r="L22" s="45"/>
      <c r="M22" s="9"/>
    </row>
    <row r="23" spans="1:13" ht="35.1" customHeight="1" x14ac:dyDescent="0.3">
      <c r="A23" s="44"/>
      <c r="B23" s="30"/>
      <c r="C23" s="21"/>
      <c r="D23" s="21"/>
      <c r="E23" s="21"/>
      <c r="F23" s="20"/>
      <c r="G23" s="35"/>
      <c r="H23" s="27"/>
      <c r="I23" s="27"/>
      <c r="J23" s="104"/>
      <c r="K23" s="45"/>
      <c r="L23" s="45"/>
      <c r="M23" s="9"/>
    </row>
    <row r="24" spans="1:13" ht="35.1" customHeight="1" x14ac:dyDescent="0.3">
      <c r="A24" s="44"/>
      <c r="B24" s="30"/>
      <c r="C24" s="21"/>
      <c r="D24" s="21"/>
      <c r="E24" s="21"/>
      <c r="F24" s="20"/>
      <c r="G24" s="35"/>
      <c r="H24" s="27"/>
      <c r="I24" s="27"/>
      <c r="J24" s="104"/>
      <c r="K24" s="45"/>
      <c r="L24" s="45"/>
      <c r="M24" s="9"/>
    </row>
    <row r="25" spans="1:13" ht="35.1" customHeight="1" x14ac:dyDescent="0.3">
      <c r="A25" s="44"/>
      <c r="B25" s="30"/>
      <c r="C25" s="21"/>
      <c r="D25" s="21"/>
      <c r="E25" s="21"/>
      <c r="F25" s="20"/>
      <c r="G25" s="35"/>
      <c r="H25" s="27"/>
      <c r="I25" s="27"/>
      <c r="J25" s="104"/>
      <c r="K25" s="45"/>
      <c r="L25" s="45"/>
      <c r="M25" s="9"/>
    </row>
    <row r="26" spans="1:13" ht="35.1" customHeight="1" x14ac:dyDescent="0.3">
      <c r="A26" s="44">
        <v>19</v>
      </c>
      <c r="B26" s="30"/>
      <c r="C26" s="21"/>
      <c r="D26" s="21"/>
      <c r="E26" s="21"/>
      <c r="F26" s="20"/>
      <c r="G26" s="35"/>
      <c r="H26" s="27"/>
      <c r="I26" s="27"/>
      <c r="J26" s="104"/>
      <c r="K26" s="45"/>
      <c r="L26" s="45"/>
      <c r="M26" s="9"/>
    </row>
    <row r="27" spans="1:13" ht="35.1" customHeight="1" thickBot="1" x14ac:dyDescent="0.35">
      <c r="A27" s="10">
        <v>20</v>
      </c>
      <c r="B27" s="13"/>
      <c r="C27" s="23"/>
      <c r="D27" s="23"/>
      <c r="E27" s="23"/>
      <c r="F27" s="22"/>
      <c r="G27" s="36"/>
      <c r="H27" s="23"/>
      <c r="I27" s="23"/>
      <c r="J27" s="11"/>
      <c r="K27" s="40"/>
      <c r="L27" s="40"/>
      <c r="M27" s="11"/>
    </row>
    <row r="28" spans="1:13" ht="30" customHeight="1" thickBot="1" x14ac:dyDescent="0.35">
      <c r="A28" s="2" t="s">
        <v>9</v>
      </c>
      <c r="B28" s="14"/>
      <c r="C28" s="24"/>
      <c r="D28" s="24"/>
      <c r="E28" s="24"/>
      <c r="F28" s="24"/>
      <c r="G28" s="37" t="e">
        <f>SUM(#REF!)</f>
        <v>#REF!</v>
      </c>
      <c r="H28" s="24"/>
      <c r="I28" s="24"/>
      <c r="J28" s="105"/>
      <c r="K28" s="39"/>
      <c r="L28" s="39"/>
      <c r="M28" s="4"/>
    </row>
  </sheetData>
  <phoneticPr fontId="1" type="noConversion"/>
  <printOptions horizontalCentered="1" verticalCentered="1"/>
  <pageMargins left="0.23622047244094491" right="0.27559055118110237" top="0.74803149606299213" bottom="0.74803149606299213" header="0.31496062992125984" footer="0.31496062992125984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4EAC-F16C-4D84-9E7D-33C6FA561BD3}">
  <sheetPr>
    <tabColor rgb="FFFFFF00"/>
    <pageSetUpPr fitToPage="1"/>
  </sheetPr>
  <dimension ref="B3:M21"/>
  <sheetViews>
    <sheetView workbookViewId="0">
      <selection activeCell="H13" sqref="H13"/>
    </sheetView>
  </sheetViews>
  <sheetFormatPr defaultRowHeight="16.5" x14ac:dyDescent="0.3"/>
  <cols>
    <col min="2" max="2" width="10.625" style="1" customWidth="1"/>
    <col min="3" max="3" width="40.625" style="1" customWidth="1"/>
    <col min="4" max="4" width="22.625" style="1" customWidth="1"/>
    <col min="5" max="5" width="15.625" style="1" customWidth="1"/>
    <col min="6" max="6" width="10.625" style="1" customWidth="1"/>
    <col min="7" max="7" width="20.625" style="1" customWidth="1"/>
    <col min="8" max="8" width="18.625" style="1" customWidth="1"/>
    <col min="9" max="10" width="15.625" style="1" customWidth="1"/>
    <col min="11" max="11" width="18.625" style="1" customWidth="1"/>
    <col min="12" max="13" width="15.625" style="1" customWidth="1"/>
  </cols>
  <sheetData>
    <row r="3" spans="2:12" ht="31.5" x14ac:dyDescent="0.3">
      <c r="B3" s="46" t="s">
        <v>38</v>
      </c>
      <c r="C3" s="46"/>
      <c r="D3" s="46"/>
      <c r="E3" s="46"/>
      <c r="F3" s="46"/>
      <c r="G3" s="46"/>
      <c r="H3" s="46"/>
      <c r="I3" s="46"/>
      <c r="J3" s="46"/>
      <c r="K3" s="46"/>
      <c r="L3" s="46"/>
    </row>
    <row r="5" spans="2:12" ht="17.25" thickBot="1" x14ac:dyDescent="0.35"/>
    <row r="6" spans="2:12" ht="35.1" customHeight="1" thickBot="1" x14ac:dyDescent="0.35">
      <c r="B6" s="2" t="s">
        <v>0</v>
      </c>
      <c r="C6" s="12" t="s">
        <v>11</v>
      </c>
      <c r="D6" s="15" t="s">
        <v>1</v>
      </c>
      <c r="E6" s="15" t="s">
        <v>50</v>
      </c>
      <c r="F6" s="15" t="s">
        <v>2</v>
      </c>
      <c r="G6" s="15" t="s">
        <v>8</v>
      </c>
      <c r="H6" s="3" t="s">
        <v>6</v>
      </c>
      <c r="I6" s="15" t="s">
        <v>4</v>
      </c>
      <c r="J6" s="15" t="s">
        <v>5</v>
      </c>
      <c r="K6" s="38" t="s">
        <v>35</v>
      </c>
      <c r="L6" s="38" t="s">
        <v>7</v>
      </c>
    </row>
    <row r="7" spans="2:12" s="1" customFormat="1" ht="35.1" customHeight="1" x14ac:dyDescent="0.3">
      <c r="B7" s="7">
        <v>1</v>
      </c>
      <c r="C7" s="30" t="str">
        <f>'TOTAL LIST'!C16</f>
        <v>Kalpataru Projects International Ltd</v>
      </c>
      <c r="D7" s="21" t="str">
        <f>'TOTAL LIST'!D20</f>
        <v>KRISUMI</v>
      </c>
      <c r="E7" s="47" t="str">
        <f>'TOTAL LIST'!E20</f>
        <v>T-3.1</v>
      </c>
      <c r="F7" s="21" t="str">
        <f>'TOTAL LIST'!F20</f>
        <v>ABG</v>
      </c>
      <c r="G7" s="20" t="s">
        <v>21</v>
      </c>
      <c r="H7" s="33">
        <v>423809</v>
      </c>
      <c r="I7" s="27">
        <v>45706</v>
      </c>
      <c r="J7" s="27">
        <v>45887</v>
      </c>
      <c r="K7" s="41">
        <f t="shared" ref="K7:K9" ca="1" si="0">TODAY()-J7</f>
        <v>393</v>
      </c>
      <c r="L7" s="9"/>
    </row>
    <row r="8" spans="2:12" s="1" customFormat="1" ht="35.1" customHeight="1" x14ac:dyDescent="0.3">
      <c r="B8" s="7">
        <v>2</v>
      </c>
      <c r="C8" s="30" t="s">
        <v>28</v>
      </c>
      <c r="D8" s="21" t="s">
        <v>30</v>
      </c>
      <c r="E8" s="47"/>
      <c r="F8" s="21" t="s">
        <v>10</v>
      </c>
      <c r="G8" s="20" t="s">
        <v>29</v>
      </c>
      <c r="H8" s="35">
        <v>5370750</v>
      </c>
      <c r="I8" s="27">
        <v>45785</v>
      </c>
      <c r="J8" s="27">
        <v>45964</v>
      </c>
      <c r="K8" s="41">
        <f t="shared" ca="1" si="0"/>
        <v>316</v>
      </c>
      <c r="L8" s="9"/>
    </row>
    <row r="9" spans="2:12" s="1" customFormat="1" ht="35.1" customHeight="1" x14ac:dyDescent="0.3">
      <c r="B9" s="7">
        <f t="shared" ref="B9:B16" si="1">B8+1</f>
        <v>3</v>
      </c>
      <c r="C9" s="30" t="s">
        <v>31</v>
      </c>
      <c r="D9" s="21" t="s">
        <v>36</v>
      </c>
      <c r="E9" s="47"/>
      <c r="F9" s="21" t="s">
        <v>3</v>
      </c>
      <c r="G9" s="20" t="s">
        <v>37</v>
      </c>
      <c r="H9" s="35">
        <v>4133825</v>
      </c>
      <c r="I9" s="27">
        <v>45824</v>
      </c>
      <c r="J9" s="27">
        <v>45913</v>
      </c>
      <c r="K9" s="41">
        <f t="shared" ca="1" si="0"/>
        <v>367</v>
      </c>
      <c r="L9" s="9"/>
    </row>
    <row r="10" spans="2:12" s="1" customFormat="1" ht="35.1" customHeight="1" x14ac:dyDescent="0.3">
      <c r="B10" s="7">
        <f t="shared" si="1"/>
        <v>4</v>
      </c>
      <c r="C10" s="30"/>
      <c r="D10" s="21"/>
      <c r="E10" s="47"/>
      <c r="F10" s="21"/>
      <c r="G10" s="20"/>
      <c r="H10" s="35"/>
      <c r="I10" s="27"/>
      <c r="J10" s="27"/>
      <c r="K10" s="45"/>
      <c r="L10" s="9"/>
    </row>
    <row r="11" spans="2:12" s="1" customFormat="1" ht="35.1" customHeight="1" x14ac:dyDescent="0.3">
      <c r="B11" s="7">
        <f t="shared" si="1"/>
        <v>5</v>
      </c>
      <c r="C11" s="30"/>
      <c r="D11" s="21"/>
      <c r="E11" s="47"/>
      <c r="F11" s="21"/>
      <c r="G11" s="20"/>
      <c r="H11" s="35"/>
      <c r="I11" s="27"/>
      <c r="J11" s="27"/>
      <c r="K11" s="45"/>
      <c r="L11" s="9"/>
    </row>
    <row r="12" spans="2:12" s="1" customFormat="1" ht="35.1" customHeight="1" x14ac:dyDescent="0.3">
      <c r="B12" s="7">
        <f t="shared" si="1"/>
        <v>6</v>
      </c>
      <c r="C12" s="30"/>
      <c r="D12" s="21"/>
      <c r="E12" s="47"/>
      <c r="F12" s="21"/>
      <c r="G12" s="20"/>
      <c r="H12" s="35"/>
      <c r="I12" s="27"/>
      <c r="J12" s="27"/>
      <c r="K12" s="45"/>
      <c r="L12" s="9"/>
    </row>
    <row r="13" spans="2:12" s="1" customFormat="1" ht="35.1" customHeight="1" x14ac:dyDescent="0.3">
      <c r="B13" s="7">
        <f t="shared" si="1"/>
        <v>7</v>
      </c>
      <c r="C13" s="30"/>
      <c r="D13" s="21"/>
      <c r="E13" s="47"/>
      <c r="F13" s="21"/>
      <c r="G13" s="20"/>
      <c r="H13" s="35"/>
      <c r="I13" s="27"/>
      <c r="J13" s="27"/>
      <c r="K13" s="45"/>
      <c r="L13" s="9"/>
    </row>
    <row r="14" spans="2:12" s="1" customFormat="1" ht="35.1" customHeight="1" x14ac:dyDescent="0.3">
      <c r="B14" s="7">
        <f t="shared" si="1"/>
        <v>8</v>
      </c>
      <c r="C14" s="30"/>
      <c r="D14" s="21"/>
      <c r="E14" s="47"/>
      <c r="F14" s="21"/>
      <c r="G14" s="20"/>
      <c r="H14" s="35"/>
      <c r="I14" s="27"/>
      <c r="J14" s="27"/>
      <c r="K14" s="45"/>
      <c r="L14" s="9"/>
    </row>
    <row r="15" spans="2:12" s="1" customFormat="1" ht="35.1" customHeight="1" x14ac:dyDescent="0.3">
      <c r="B15" s="7">
        <f t="shared" si="1"/>
        <v>9</v>
      </c>
      <c r="C15" s="30"/>
      <c r="D15" s="21"/>
      <c r="E15" s="47"/>
      <c r="F15" s="21"/>
      <c r="G15" s="20"/>
      <c r="H15" s="35"/>
      <c r="I15" s="27"/>
      <c r="J15" s="27"/>
      <c r="K15" s="45"/>
      <c r="L15" s="9"/>
    </row>
    <row r="16" spans="2:12" s="1" customFormat="1" ht="35.1" customHeight="1" x14ac:dyDescent="0.3">
      <c r="B16" s="7">
        <f t="shared" si="1"/>
        <v>10</v>
      </c>
      <c r="C16" s="30"/>
      <c r="D16" s="21"/>
      <c r="E16" s="47"/>
      <c r="F16" s="21"/>
      <c r="G16" s="20"/>
      <c r="H16" s="35"/>
      <c r="I16" s="27"/>
      <c r="J16" s="27"/>
      <c r="K16" s="45"/>
      <c r="L16" s="9"/>
    </row>
    <row r="17" spans="2:12" s="1" customFormat="1" ht="35.1" customHeight="1" thickBot="1" x14ac:dyDescent="0.35">
      <c r="B17" s="10"/>
      <c r="C17" s="13"/>
      <c r="D17" s="23"/>
      <c r="E17" s="48"/>
      <c r="F17" s="23"/>
      <c r="G17" s="22"/>
      <c r="H17" s="36"/>
      <c r="I17" s="23"/>
      <c r="J17" s="23"/>
      <c r="K17" s="40"/>
      <c r="L17" s="11"/>
    </row>
    <row r="18" spans="2:12" s="1" customFormat="1" ht="30" customHeight="1" thickBot="1" x14ac:dyDescent="0.35">
      <c r="B18" s="2" t="s">
        <v>9</v>
      </c>
      <c r="C18" s="14"/>
      <c r="D18" s="24"/>
      <c r="E18" s="49"/>
      <c r="F18" s="24"/>
      <c r="G18" s="24"/>
      <c r="H18" s="37">
        <f>SUM(H7:H17)</f>
        <v>9928384</v>
      </c>
      <c r="I18" s="24"/>
      <c r="J18" s="24"/>
      <c r="K18" s="39"/>
      <c r="L18" s="4"/>
    </row>
    <row r="21" spans="2:12" x14ac:dyDescent="0.3">
      <c r="I21" s="1">
        <v>1</v>
      </c>
    </row>
  </sheetData>
  <phoneticPr fontId="1" type="noConversion"/>
  <pageMargins left="0.24" right="0.28999999999999998" top="0.74803149606299213" bottom="0.74803149606299213" header="0.31496062992125984" footer="0.31496062992125984"/>
  <pageSetup paperSize="9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C1F4-6B53-435F-9109-B8CE0A5DC8E9}">
  <sheetPr>
    <pageSetUpPr fitToPage="1"/>
  </sheetPr>
  <dimension ref="B3:P42"/>
  <sheetViews>
    <sheetView topLeftCell="E7" workbookViewId="0">
      <selection activeCell="L16" sqref="L16"/>
    </sheetView>
  </sheetViews>
  <sheetFormatPr defaultRowHeight="16.5" x14ac:dyDescent="0.3"/>
  <cols>
    <col min="2" max="2" width="10.625" style="1" customWidth="1"/>
    <col min="3" max="3" width="35.625" style="1" customWidth="1"/>
    <col min="4" max="5" width="22.625" style="1" customWidth="1"/>
    <col min="6" max="6" width="10.625" style="1" customWidth="1"/>
    <col min="7" max="8" width="20.625" style="1" customWidth="1"/>
    <col min="9" max="12" width="15.625" style="1" customWidth="1"/>
    <col min="13" max="14" width="20.625" style="1" customWidth="1"/>
    <col min="15" max="15" width="15.625" style="1" customWidth="1"/>
    <col min="16" max="16" width="15.625" customWidth="1"/>
  </cols>
  <sheetData>
    <row r="3" spans="2:16" ht="31.5" x14ac:dyDescent="0.3">
      <c r="B3" s="46" t="s">
        <v>34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5" spans="2:16" ht="17.25" thickBot="1" x14ac:dyDescent="0.35"/>
    <row r="6" spans="2:16" ht="35.1" customHeight="1" thickBot="1" x14ac:dyDescent="0.35">
      <c r="B6" s="2" t="s">
        <v>0</v>
      </c>
      <c r="C6" s="12" t="s">
        <v>11</v>
      </c>
      <c r="D6" s="15" t="s">
        <v>1</v>
      </c>
      <c r="E6" s="15" t="s">
        <v>50</v>
      </c>
      <c r="F6" s="15" t="s">
        <v>2</v>
      </c>
      <c r="G6" s="15" t="s">
        <v>8</v>
      </c>
      <c r="H6" s="3" t="s">
        <v>6</v>
      </c>
      <c r="I6" s="15" t="s">
        <v>4</v>
      </c>
      <c r="J6" s="15" t="s">
        <v>5</v>
      </c>
      <c r="K6" s="15" t="s">
        <v>47</v>
      </c>
      <c r="L6" s="15" t="s">
        <v>46</v>
      </c>
      <c r="M6" s="38" t="s">
        <v>35</v>
      </c>
      <c r="N6" s="38" t="s">
        <v>7</v>
      </c>
    </row>
    <row r="7" spans="2:16" ht="35.1" customHeight="1" x14ac:dyDescent="0.3">
      <c r="B7" s="5">
        <v>1</v>
      </c>
      <c r="C7" s="28" t="s">
        <v>12</v>
      </c>
      <c r="D7" s="17" t="s">
        <v>14</v>
      </c>
      <c r="E7" s="17"/>
      <c r="F7" s="17" t="s">
        <v>10</v>
      </c>
      <c r="G7" s="16" t="s">
        <v>13</v>
      </c>
      <c r="H7" s="31">
        <v>1026610</v>
      </c>
      <c r="I7" s="25">
        <v>45532</v>
      </c>
      <c r="J7" s="25">
        <v>45710</v>
      </c>
      <c r="K7" s="25"/>
      <c r="L7" s="25"/>
      <c r="M7" s="42">
        <f ca="1">TODAY()-J7</f>
        <v>570</v>
      </c>
      <c r="N7" s="6"/>
    </row>
    <row r="8" spans="2:16" ht="35.1" customHeight="1" x14ac:dyDescent="0.3">
      <c r="B8" s="7">
        <f>B7+1</f>
        <v>2</v>
      </c>
      <c r="C8" s="29" t="s">
        <v>15</v>
      </c>
      <c r="D8" s="19" t="s">
        <v>17</v>
      </c>
      <c r="E8" s="19"/>
      <c r="F8" s="19" t="s">
        <v>10</v>
      </c>
      <c r="G8" s="18" t="s">
        <v>16</v>
      </c>
      <c r="H8" s="32">
        <v>2607105</v>
      </c>
      <c r="I8" s="26">
        <v>45621</v>
      </c>
      <c r="J8" s="26">
        <v>45802</v>
      </c>
      <c r="K8" s="26"/>
      <c r="L8" s="26"/>
      <c r="M8" s="43">
        <f t="shared" ref="M8:M14" ca="1" si="0">TODAY()-J8</f>
        <v>478</v>
      </c>
      <c r="N8" s="8"/>
    </row>
    <row r="9" spans="2:16" ht="35.1" customHeight="1" x14ac:dyDescent="0.3">
      <c r="B9" s="7">
        <f t="shared" ref="B9:B14" si="1">B8+1</f>
        <v>3</v>
      </c>
      <c r="C9" s="29" t="s">
        <v>18</v>
      </c>
      <c r="D9" s="19" t="s">
        <v>20</v>
      </c>
      <c r="E9" s="19"/>
      <c r="F9" s="19" t="s">
        <v>3</v>
      </c>
      <c r="G9" s="18" t="s">
        <v>19</v>
      </c>
      <c r="H9" s="32">
        <v>2911213</v>
      </c>
      <c r="I9" s="26">
        <v>45666</v>
      </c>
      <c r="J9" s="26">
        <v>45755</v>
      </c>
      <c r="K9" s="26"/>
      <c r="L9" s="26"/>
      <c r="M9" s="43">
        <f t="shared" ca="1" si="0"/>
        <v>525</v>
      </c>
      <c r="N9" s="8"/>
    </row>
    <row r="10" spans="2:16" ht="35.1" customHeight="1" x14ac:dyDescent="0.3">
      <c r="B10" s="7">
        <f t="shared" si="1"/>
        <v>4</v>
      </c>
      <c r="C10" s="29" t="s">
        <v>23</v>
      </c>
      <c r="D10" s="19" t="s">
        <v>26</v>
      </c>
      <c r="E10" s="19"/>
      <c r="F10" s="19" t="s">
        <v>3</v>
      </c>
      <c r="G10" s="18" t="s">
        <v>27</v>
      </c>
      <c r="H10" s="34">
        <v>8951250</v>
      </c>
      <c r="I10" s="26">
        <v>45726</v>
      </c>
      <c r="J10" s="26">
        <v>45815</v>
      </c>
      <c r="K10" s="26"/>
      <c r="L10" s="26"/>
      <c r="M10" s="41">
        <f ca="1">TODAY()-J10</f>
        <v>465</v>
      </c>
      <c r="N10" s="8"/>
    </row>
    <row r="11" spans="2:16" ht="35.1" customHeight="1" x14ac:dyDescent="0.3">
      <c r="B11" s="7">
        <f t="shared" si="1"/>
        <v>5</v>
      </c>
      <c r="C11" s="30" t="s">
        <v>18</v>
      </c>
      <c r="D11" s="21" t="s">
        <v>22</v>
      </c>
      <c r="E11" s="21"/>
      <c r="F11" s="21" t="s">
        <v>10</v>
      </c>
      <c r="G11" s="20" t="s">
        <v>21</v>
      </c>
      <c r="H11" s="33">
        <v>423809</v>
      </c>
      <c r="I11" s="27">
        <v>45706</v>
      </c>
      <c r="J11" s="27">
        <v>45887</v>
      </c>
      <c r="K11" s="27"/>
      <c r="L11" s="27"/>
      <c r="M11" s="41">
        <f t="shared" ca="1" si="0"/>
        <v>393</v>
      </c>
      <c r="N11" s="9"/>
    </row>
    <row r="12" spans="2:16" ht="35.1" customHeight="1" x14ac:dyDescent="0.3">
      <c r="B12" s="7">
        <f t="shared" si="1"/>
        <v>6</v>
      </c>
      <c r="C12" s="29" t="s">
        <v>23</v>
      </c>
      <c r="D12" s="19" t="s">
        <v>25</v>
      </c>
      <c r="E12" s="19"/>
      <c r="F12" s="19" t="s">
        <v>3</v>
      </c>
      <c r="G12" s="18" t="s">
        <v>24</v>
      </c>
      <c r="H12" s="34">
        <v>17902500</v>
      </c>
      <c r="I12" s="26">
        <v>45726</v>
      </c>
      <c r="J12" s="26">
        <v>45815</v>
      </c>
      <c r="K12" s="26"/>
      <c r="L12" s="26"/>
      <c r="M12" s="43">
        <f t="shared" ca="1" si="0"/>
        <v>465</v>
      </c>
      <c r="N12" s="8"/>
    </row>
    <row r="13" spans="2:16" ht="35.1" customHeight="1" x14ac:dyDescent="0.3">
      <c r="B13" s="7">
        <f t="shared" si="1"/>
        <v>7</v>
      </c>
      <c r="C13" s="30" t="s">
        <v>28</v>
      </c>
      <c r="D13" s="21" t="s">
        <v>30</v>
      </c>
      <c r="E13" s="21"/>
      <c r="F13" s="21" t="s">
        <v>10</v>
      </c>
      <c r="G13" s="20" t="s">
        <v>29</v>
      </c>
      <c r="H13" s="35">
        <v>5370750</v>
      </c>
      <c r="I13" s="27">
        <v>45785</v>
      </c>
      <c r="J13" s="27">
        <v>45964</v>
      </c>
      <c r="K13" s="27"/>
      <c r="L13" s="27"/>
      <c r="M13" s="41">
        <f t="shared" ca="1" si="0"/>
        <v>316</v>
      </c>
      <c r="N13" s="9"/>
    </row>
    <row r="14" spans="2:16" ht="35.1" customHeight="1" x14ac:dyDescent="0.3">
      <c r="B14" s="7">
        <f t="shared" si="1"/>
        <v>8</v>
      </c>
      <c r="C14" s="30" t="s">
        <v>31</v>
      </c>
      <c r="D14" s="21" t="s">
        <v>32</v>
      </c>
      <c r="E14" s="21"/>
      <c r="F14" s="21" t="s">
        <v>3</v>
      </c>
      <c r="G14" s="20" t="s">
        <v>33</v>
      </c>
      <c r="H14" s="35">
        <v>9318750</v>
      </c>
      <c r="I14" s="27">
        <v>45804</v>
      </c>
      <c r="J14" s="27">
        <v>45893</v>
      </c>
      <c r="K14" s="27"/>
      <c r="L14" s="27"/>
      <c r="M14" s="41">
        <f t="shared" ca="1" si="0"/>
        <v>387</v>
      </c>
      <c r="N14" s="9"/>
    </row>
    <row r="15" spans="2:16" ht="9.9499999999999993" customHeight="1" thickBot="1" x14ac:dyDescent="0.35">
      <c r="B15" s="44"/>
      <c r="C15" s="30"/>
      <c r="D15" s="21"/>
      <c r="E15" s="21"/>
      <c r="F15" s="21"/>
      <c r="G15" s="20"/>
      <c r="H15" s="35"/>
      <c r="I15" s="27"/>
      <c r="J15" s="27"/>
      <c r="K15" s="27"/>
      <c r="L15" s="27"/>
      <c r="M15" s="45"/>
      <c r="N15" s="9"/>
    </row>
    <row r="16" spans="2:16" ht="35.1" customHeight="1" x14ac:dyDescent="0.3">
      <c r="B16" s="61">
        <v>9</v>
      </c>
      <c r="C16" s="62" t="s">
        <v>39</v>
      </c>
      <c r="D16" s="63" t="s">
        <v>59</v>
      </c>
      <c r="E16" s="63" t="s">
        <v>51</v>
      </c>
      <c r="F16" s="64" t="s">
        <v>41</v>
      </c>
      <c r="G16" s="65" t="s">
        <v>40</v>
      </c>
      <c r="H16" s="66">
        <v>2137260</v>
      </c>
      <c r="I16" s="67">
        <v>46030</v>
      </c>
      <c r="J16" s="84">
        <v>46179</v>
      </c>
      <c r="K16" s="83">
        <v>46353</v>
      </c>
      <c r="L16" s="68"/>
      <c r="M16" s="69"/>
      <c r="N16" s="64" t="s">
        <v>69</v>
      </c>
      <c r="O16" s="81">
        <v>46169</v>
      </c>
      <c r="P16" s="82">
        <f>O16+180</f>
        <v>46349</v>
      </c>
    </row>
    <row r="17" spans="2:16" ht="35.1" customHeight="1" x14ac:dyDescent="0.3">
      <c r="B17" s="44">
        <f>B16+1</f>
        <v>10</v>
      </c>
      <c r="C17" s="30" t="s">
        <v>15</v>
      </c>
      <c r="D17" s="21" t="s">
        <v>59</v>
      </c>
      <c r="E17" s="21" t="s">
        <v>52</v>
      </c>
      <c r="F17" s="53" t="s">
        <v>10</v>
      </c>
      <c r="G17" s="50" t="s">
        <v>56</v>
      </c>
      <c r="H17" s="51">
        <v>1856670</v>
      </c>
      <c r="I17" s="52">
        <v>46030</v>
      </c>
      <c r="J17" s="85">
        <v>46179</v>
      </c>
      <c r="K17" s="79">
        <v>46353</v>
      </c>
      <c r="L17" s="27"/>
      <c r="M17" s="45"/>
      <c r="N17" s="53" t="s">
        <v>69</v>
      </c>
      <c r="O17" s="81">
        <v>46160</v>
      </c>
      <c r="P17" s="82">
        <f t="shared" ref="P17:P19" si="2">O17+180</f>
        <v>46340</v>
      </c>
    </row>
    <row r="18" spans="2:16" ht="35.1" customHeight="1" x14ac:dyDescent="0.3">
      <c r="B18" s="44">
        <f>B17+1</f>
        <v>11</v>
      </c>
      <c r="C18" s="30" t="str">
        <f>C17</f>
        <v>Kalpataru Projects International Ltd</v>
      </c>
      <c r="D18" s="21" t="s">
        <v>59</v>
      </c>
      <c r="E18" s="21" t="s">
        <v>54</v>
      </c>
      <c r="F18" s="53" t="s">
        <v>10</v>
      </c>
      <c r="G18" s="50" t="s">
        <v>57</v>
      </c>
      <c r="H18" s="51">
        <v>3385488</v>
      </c>
      <c r="I18" s="52">
        <v>46140</v>
      </c>
      <c r="J18" s="52">
        <v>46319</v>
      </c>
      <c r="K18" s="79">
        <v>46376</v>
      </c>
      <c r="L18" s="27"/>
      <c r="M18" s="45"/>
      <c r="N18" s="21"/>
      <c r="O18" s="81">
        <v>46191</v>
      </c>
      <c r="P18" s="82">
        <f t="shared" si="2"/>
        <v>46371</v>
      </c>
    </row>
    <row r="19" spans="2:16" ht="35.1" customHeight="1" thickBot="1" x14ac:dyDescent="0.35">
      <c r="B19" s="10">
        <f t="shared" ref="B19:B25" si="3">B18+1</f>
        <v>12</v>
      </c>
      <c r="C19" s="13" t="str">
        <f>C18</f>
        <v>Kalpataru Projects International Ltd</v>
      </c>
      <c r="D19" s="23" t="s">
        <v>59</v>
      </c>
      <c r="E19" s="23" t="s">
        <v>55</v>
      </c>
      <c r="F19" s="70" t="s">
        <v>10</v>
      </c>
      <c r="G19" s="71" t="s">
        <v>58</v>
      </c>
      <c r="H19" s="72">
        <v>3714833</v>
      </c>
      <c r="I19" s="73">
        <v>46120</v>
      </c>
      <c r="J19" s="73">
        <v>46319</v>
      </c>
      <c r="K19" s="80">
        <v>46376</v>
      </c>
      <c r="L19" s="74"/>
      <c r="M19" s="75"/>
      <c r="N19" s="23"/>
      <c r="O19" s="81">
        <v>46193</v>
      </c>
      <c r="P19" s="82">
        <f t="shared" si="2"/>
        <v>46373</v>
      </c>
    </row>
    <row r="20" spans="2:16" ht="35.1" customHeight="1" x14ac:dyDescent="0.3">
      <c r="B20" s="61">
        <f t="shared" si="3"/>
        <v>13</v>
      </c>
      <c r="C20" s="62" t="s">
        <v>39</v>
      </c>
      <c r="D20" s="63" t="s">
        <v>59</v>
      </c>
      <c r="E20" s="63" t="s">
        <v>53</v>
      </c>
      <c r="F20" s="63" t="s">
        <v>3</v>
      </c>
      <c r="G20" s="76" t="s">
        <v>42</v>
      </c>
      <c r="H20" s="77">
        <v>13867813</v>
      </c>
      <c r="I20" s="68">
        <v>45957</v>
      </c>
      <c r="J20" s="68">
        <f>I20+90</f>
        <v>46047</v>
      </c>
      <c r="K20" s="68">
        <f>J20+59</f>
        <v>46106</v>
      </c>
      <c r="L20" s="67">
        <v>46196</v>
      </c>
      <c r="M20" s="69"/>
      <c r="N20" s="86"/>
    </row>
    <row r="21" spans="2:16" ht="35.1" customHeight="1" x14ac:dyDescent="0.3">
      <c r="B21" s="44">
        <f t="shared" si="3"/>
        <v>14</v>
      </c>
      <c r="C21" s="30" t="s">
        <v>39</v>
      </c>
      <c r="D21" s="21" t="s">
        <v>59</v>
      </c>
      <c r="E21" s="21" t="s">
        <v>54</v>
      </c>
      <c r="F21" s="21" t="s">
        <v>3</v>
      </c>
      <c r="G21" s="20" t="s">
        <v>43</v>
      </c>
      <c r="H21" s="35">
        <v>16086663</v>
      </c>
      <c r="I21" s="27">
        <f>I20</f>
        <v>45957</v>
      </c>
      <c r="J21" s="27">
        <f t="shared" ref="J21:J23" si="4">I21+90</f>
        <v>46047</v>
      </c>
      <c r="K21" s="27">
        <f t="shared" ref="K21:K23" si="5">J21+59</f>
        <v>46106</v>
      </c>
      <c r="L21" s="52">
        <v>46196</v>
      </c>
      <c r="M21" s="45"/>
      <c r="N21" s="9"/>
    </row>
    <row r="22" spans="2:16" ht="35.1" customHeight="1" x14ac:dyDescent="0.3">
      <c r="B22" s="44">
        <f t="shared" si="3"/>
        <v>15</v>
      </c>
      <c r="C22" s="30" t="s">
        <v>39</v>
      </c>
      <c r="D22" s="21" t="s">
        <v>59</v>
      </c>
      <c r="E22" s="21" t="s">
        <v>55</v>
      </c>
      <c r="F22" s="21" t="s">
        <v>3</v>
      </c>
      <c r="G22" s="20" t="s">
        <v>44</v>
      </c>
      <c r="H22" s="35">
        <v>11648963</v>
      </c>
      <c r="I22" s="27">
        <f>I21</f>
        <v>45957</v>
      </c>
      <c r="J22" s="27">
        <f t="shared" si="4"/>
        <v>46047</v>
      </c>
      <c r="K22" s="27">
        <f t="shared" si="5"/>
        <v>46106</v>
      </c>
      <c r="L22" s="52">
        <v>46176</v>
      </c>
      <c r="M22" s="45"/>
      <c r="N22" s="9"/>
    </row>
    <row r="23" spans="2:16" ht="35.1" customHeight="1" x14ac:dyDescent="0.3">
      <c r="B23" s="44">
        <f t="shared" si="3"/>
        <v>16</v>
      </c>
      <c r="C23" s="30" t="s">
        <v>15</v>
      </c>
      <c r="D23" s="21" t="s">
        <v>59</v>
      </c>
      <c r="E23" s="21" t="s">
        <v>52</v>
      </c>
      <c r="F23" s="21" t="s">
        <v>3</v>
      </c>
      <c r="G23" s="20" t="s">
        <v>45</v>
      </c>
      <c r="H23" s="35">
        <v>13867813</v>
      </c>
      <c r="I23" s="27">
        <f>I22</f>
        <v>45957</v>
      </c>
      <c r="J23" s="27">
        <f t="shared" si="4"/>
        <v>46047</v>
      </c>
      <c r="K23" s="27">
        <f t="shared" si="5"/>
        <v>46106</v>
      </c>
      <c r="L23" s="52">
        <v>46196</v>
      </c>
      <c r="M23" s="45"/>
      <c r="N23" s="9"/>
    </row>
    <row r="24" spans="2:16" ht="35.1" customHeight="1" x14ac:dyDescent="0.3">
      <c r="B24" s="44">
        <f t="shared" si="3"/>
        <v>17</v>
      </c>
      <c r="C24" s="30" t="str">
        <f>C23</f>
        <v>Kalpataru Projects International Ltd</v>
      </c>
      <c r="D24" s="21" t="s">
        <v>59</v>
      </c>
      <c r="E24" s="21" t="s">
        <v>54</v>
      </c>
      <c r="F24" s="21" t="s">
        <v>3</v>
      </c>
      <c r="G24" s="20" t="s">
        <v>60</v>
      </c>
      <c r="H24" s="35">
        <v>13867813</v>
      </c>
      <c r="I24" s="52">
        <v>46190</v>
      </c>
      <c r="J24" s="79">
        <v>46285</v>
      </c>
      <c r="K24" s="27"/>
      <c r="L24" s="27"/>
      <c r="M24" s="45"/>
      <c r="N24" s="9" t="s">
        <v>67</v>
      </c>
    </row>
    <row r="25" spans="2:16" ht="35.1" customHeight="1" thickBot="1" x14ac:dyDescent="0.35">
      <c r="B25" s="10">
        <f t="shared" si="3"/>
        <v>18</v>
      </c>
      <c r="C25" s="13" t="str">
        <f>C24</f>
        <v>Kalpataru Projects International Ltd</v>
      </c>
      <c r="D25" s="23" t="s">
        <v>59</v>
      </c>
      <c r="E25" s="23" t="s">
        <v>55</v>
      </c>
      <c r="F25" s="23" t="s">
        <v>3</v>
      </c>
      <c r="G25" s="22" t="s">
        <v>65</v>
      </c>
      <c r="H25" s="36">
        <v>16086663</v>
      </c>
      <c r="I25" s="73">
        <v>46190</v>
      </c>
      <c r="J25" s="80">
        <v>46285</v>
      </c>
      <c r="K25" s="74"/>
      <c r="L25" s="74"/>
      <c r="M25" s="75"/>
      <c r="N25" s="23" t="s">
        <v>67</v>
      </c>
    </row>
    <row r="26" spans="2:16" ht="9.9499999999999993" customHeight="1" x14ac:dyDescent="0.3">
      <c r="B26" s="54"/>
      <c r="C26" s="55"/>
      <c r="D26" s="56"/>
      <c r="E26" s="56"/>
      <c r="F26" s="56"/>
      <c r="G26" s="57"/>
      <c r="H26" s="58"/>
      <c r="I26" s="59"/>
      <c r="J26" s="59"/>
      <c r="K26" s="59"/>
      <c r="L26" s="59"/>
      <c r="M26" s="60"/>
      <c r="N26" s="86"/>
    </row>
    <row r="27" spans="2:16" ht="35.1" customHeight="1" x14ac:dyDescent="0.3">
      <c r="B27" s="44">
        <f>B25+1</f>
        <v>19</v>
      </c>
      <c r="C27" s="30" t="s">
        <v>49</v>
      </c>
      <c r="D27" s="21" t="s">
        <v>62</v>
      </c>
      <c r="E27" s="21" t="s">
        <v>63</v>
      </c>
      <c r="F27" s="21" t="s">
        <v>10</v>
      </c>
      <c r="G27" s="20" t="s">
        <v>64</v>
      </c>
      <c r="H27" s="35">
        <v>2114632</v>
      </c>
      <c r="I27" s="27">
        <v>46132</v>
      </c>
      <c r="J27" s="27">
        <v>46312</v>
      </c>
      <c r="K27" s="27"/>
      <c r="L27" s="27"/>
      <c r="M27" s="45"/>
      <c r="N27" s="9" t="s">
        <v>61</v>
      </c>
    </row>
    <row r="28" spans="2:16" ht="35.1" customHeight="1" x14ac:dyDescent="0.3">
      <c r="B28" s="44">
        <f>B27+1</f>
        <v>20</v>
      </c>
      <c r="C28" s="30" t="s">
        <v>49</v>
      </c>
      <c r="D28" s="21" t="s">
        <v>48</v>
      </c>
      <c r="E28" s="21" t="s">
        <v>66</v>
      </c>
      <c r="F28" s="21" t="s">
        <v>10</v>
      </c>
      <c r="G28" s="20" t="s">
        <v>64</v>
      </c>
      <c r="H28" s="35">
        <v>11880000</v>
      </c>
      <c r="I28" s="27">
        <v>46176</v>
      </c>
      <c r="J28" s="27">
        <v>46355</v>
      </c>
      <c r="K28" s="79">
        <v>46030</v>
      </c>
      <c r="L28" s="27"/>
      <c r="M28" s="45"/>
      <c r="N28" s="9" t="s">
        <v>69</v>
      </c>
      <c r="O28" s="78" t="s">
        <v>68</v>
      </c>
    </row>
    <row r="29" spans="2:16" ht="35.1" customHeight="1" x14ac:dyDescent="0.3">
      <c r="B29" s="44"/>
      <c r="C29" s="30"/>
      <c r="D29" s="21"/>
      <c r="E29" s="21"/>
      <c r="F29" s="21"/>
      <c r="G29" s="20"/>
      <c r="H29" s="35"/>
      <c r="I29" s="27"/>
      <c r="J29" s="27"/>
      <c r="K29" s="27"/>
      <c r="L29" s="27"/>
      <c r="M29" s="45"/>
      <c r="N29" s="9"/>
    </row>
    <row r="30" spans="2:16" ht="35.1" customHeight="1" x14ac:dyDescent="0.3">
      <c r="B30" s="44"/>
      <c r="C30" s="30"/>
      <c r="D30" s="21"/>
      <c r="E30" s="21"/>
      <c r="F30" s="21"/>
      <c r="G30" s="20"/>
      <c r="H30" s="35"/>
      <c r="I30" s="27"/>
      <c r="J30" s="27"/>
      <c r="K30" s="27"/>
      <c r="L30" s="27"/>
      <c r="M30" s="45"/>
      <c r="N30" s="9"/>
    </row>
    <row r="31" spans="2:16" ht="35.1" customHeight="1" x14ac:dyDescent="0.3">
      <c r="B31" s="44"/>
      <c r="C31" s="30"/>
      <c r="D31" s="21"/>
      <c r="E31" s="21"/>
      <c r="F31" s="21"/>
      <c r="G31" s="20"/>
      <c r="H31" s="35"/>
      <c r="I31" s="27"/>
      <c r="J31" s="27"/>
      <c r="K31" s="27"/>
      <c r="L31" s="27"/>
      <c r="M31" s="45"/>
      <c r="N31" s="9"/>
    </row>
    <row r="32" spans="2:16" ht="35.1" customHeight="1" x14ac:dyDescent="0.3">
      <c r="B32" s="44"/>
      <c r="C32" s="30"/>
      <c r="D32" s="21"/>
      <c r="E32" s="21"/>
      <c r="F32" s="21"/>
      <c r="G32" s="20"/>
      <c r="H32" s="35"/>
      <c r="I32" s="27"/>
      <c r="J32" s="27"/>
      <c r="K32" s="27"/>
      <c r="L32" s="27"/>
      <c r="M32" s="45"/>
      <c r="N32" s="9"/>
    </row>
    <row r="33" spans="2:14" ht="35.1" customHeight="1" x14ac:dyDescent="0.3">
      <c r="B33" s="44"/>
      <c r="C33" s="30"/>
      <c r="D33" s="21"/>
      <c r="E33" s="21"/>
      <c r="F33" s="21"/>
      <c r="G33" s="20"/>
      <c r="H33" s="35"/>
      <c r="I33" s="27"/>
      <c r="J33" s="27"/>
      <c r="K33" s="27"/>
      <c r="L33" s="27"/>
      <c r="M33" s="45"/>
      <c r="N33" s="9"/>
    </row>
    <row r="34" spans="2:14" ht="35.1" customHeight="1" x14ac:dyDescent="0.3">
      <c r="B34" s="44"/>
      <c r="C34" s="30"/>
      <c r="D34" s="21"/>
      <c r="E34" s="21"/>
      <c r="F34" s="21"/>
      <c r="G34" s="20"/>
      <c r="H34" s="35"/>
      <c r="I34" s="27"/>
      <c r="J34" s="27"/>
      <c r="K34" s="27"/>
      <c r="L34" s="27"/>
      <c r="M34" s="45"/>
      <c r="N34" s="9"/>
    </row>
    <row r="35" spans="2:14" ht="35.1" customHeight="1" x14ac:dyDescent="0.3">
      <c r="B35" s="44"/>
      <c r="C35" s="30"/>
      <c r="D35" s="21"/>
      <c r="E35" s="21"/>
      <c r="F35" s="21"/>
      <c r="G35" s="20"/>
      <c r="H35" s="35"/>
      <c r="I35" s="27"/>
      <c r="J35" s="27"/>
      <c r="K35" s="27"/>
      <c r="L35" s="27"/>
      <c r="M35" s="45"/>
      <c r="N35" s="9"/>
    </row>
    <row r="36" spans="2:14" ht="35.1" customHeight="1" x14ac:dyDescent="0.3">
      <c r="B36" s="44"/>
      <c r="C36" s="30"/>
      <c r="D36" s="21"/>
      <c r="E36" s="21"/>
      <c r="F36" s="21"/>
      <c r="G36" s="20"/>
      <c r="H36" s="35"/>
      <c r="I36" s="27"/>
      <c r="J36" s="27"/>
      <c r="K36" s="27"/>
      <c r="L36" s="27"/>
      <c r="M36" s="45"/>
      <c r="N36" s="9"/>
    </row>
    <row r="37" spans="2:14" ht="35.1" customHeight="1" x14ac:dyDescent="0.3">
      <c r="B37" s="44"/>
      <c r="C37" s="30"/>
      <c r="D37" s="21"/>
      <c r="E37" s="21"/>
      <c r="F37" s="21"/>
      <c r="G37" s="20"/>
      <c r="H37" s="35"/>
      <c r="I37" s="27"/>
      <c r="J37" s="27"/>
      <c r="K37" s="27"/>
      <c r="L37" s="27"/>
      <c r="M37" s="45"/>
      <c r="N37" s="9"/>
    </row>
    <row r="38" spans="2:14" ht="35.1" customHeight="1" x14ac:dyDescent="0.3">
      <c r="B38" s="44"/>
      <c r="C38" s="30"/>
      <c r="D38" s="21"/>
      <c r="E38" s="21"/>
      <c r="F38" s="21"/>
      <c r="G38" s="20"/>
      <c r="H38" s="35"/>
      <c r="I38" s="27"/>
      <c r="J38" s="27"/>
      <c r="K38" s="27"/>
      <c r="L38" s="27"/>
      <c r="M38" s="45"/>
      <c r="N38" s="9"/>
    </row>
    <row r="39" spans="2:14" ht="35.1" customHeight="1" x14ac:dyDescent="0.3">
      <c r="B39" s="44"/>
      <c r="C39" s="30"/>
      <c r="D39" s="21"/>
      <c r="E39" s="21"/>
      <c r="F39" s="21"/>
      <c r="G39" s="20"/>
      <c r="H39" s="35"/>
      <c r="I39" s="27"/>
      <c r="J39" s="27"/>
      <c r="K39" s="27"/>
      <c r="L39" s="27"/>
      <c r="M39" s="45"/>
      <c r="N39" s="9"/>
    </row>
    <row r="40" spans="2:14" ht="35.1" customHeight="1" x14ac:dyDescent="0.3">
      <c r="B40" s="44">
        <v>19</v>
      </c>
      <c r="C40" s="30"/>
      <c r="D40" s="21"/>
      <c r="E40" s="21"/>
      <c r="F40" s="21"/>
      <c r="G40" s="20"/>
      <c r="H40" s="35"/>
      <c r="I40" s="27"/>
      <c r="J40" s="27"/>
      <c r="K40" s="27"/>
      <c r="L40" s="27"/>
      <c r="M40" s="45"/>
      <c r="N40" s="9"/>
    </row>
    <row r="41" spans="2:14" ht="35.1" customHeight="1" thickBot="1" x14ac:dyDescent="0.35">
      <c r="B41" s="10">
        <v>20</v>
      </c>
      <c r="C41" s="13"/>
      <c r="D41" s="23"/>
      <c r="E41" s="23"/>
      <c r="F41" s="23"/>
      <c r="G41" s="22"/>
      <c r="H41" s="36"/>
      <c r="I41" s="23"/>
      <c r="J41" s="23"/>
      <c r="K41" s="23"/>
      <c r="L41" s="23"/>
      <c r="M41" s="40"/>
      <c r="N41" s="11"/>
    </row>
    <row r="42" spans="2:14" ht="30" customHeight="1" thickBot="1" x14ac:dyDescent="0.35">
      <c r="B42" s="2" t="s">
        <v>9</v>
      </c>
      <c r="C42" s="14"/>
      <c r="D42" s="24"/>
      <c r="E42" s="24"/>
      <c r="F42" s="24"/>
      <c r="G42" s="24"/>
      <c r="H42" s="37">
        <f>SUM(H7:H10)</f>
        <v>15496178</v>
      </c>
      <c r="I42" s="24"/>
      <c r="J42" s="24"/>
      <c r="K42" s="24"/>
      <c r="L42" s="24"/>
      <c r="M42" s="39"/>
      <c r="N42" s="4"/>
    </row>
  </sheetData>
  <phoneticPr fontId="1" type="noConversion"/>
  <pageMargins left="0.24" right="0.28999999999999998" top="0.74803149606299213" bottom="0.74803149606299213" header="0.31496062992125984" footer="0.31496062992125984"/>
  <pageSetup paperSize="9" scale="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488B-2EAC-4DFA-91C8-115B83E8789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TOTAL LIST (3)</vt:lpstr>
      <vt:lpstr>TOTAL LIST (2)</vt:lpstr>
      <vt:lpstr>TOTAL LIST</vt:lpstr>
      <vt:lpstr>Sheet2</vt:lpstr>
      <vt:lpstr>'TOTAL LIST'!Print_Area</vt:lpstr>
      <vt:lpstr>'TOTAL LIST (2)'!Print_Area</vt:lpstr>
      <vt:lpstr>'TOTAL LIST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2026-09-15T06:47:42Z</cp:lastPrinted>
  <dcterms:created xsi:type="dcterms:W3CDTF">2024-02-05T10:23:12Z</dcterms:created>
  <dcterms:modified xsi:type="dcterms:W3CDTF">2026-09-15T07:01:09Z</dcterms:modified>
</cp:coreProperties>
</file>